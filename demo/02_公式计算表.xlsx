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公式计算示例（SimpleXLSXPro 内置引擎实时计算，无需缓存值）</t>
        </is>
      </c>
    </row>
    <row r="2">
      <c r="A2" s="2" t="inlineStr">
        <is>
          <t>产品</t>
        </is>
      </c>
      <c r="B2" s="2" t="inlineStr">
        <is>
          <t>单价</t>
        </is>
      </c>
      <c r="C2" s="2" t="inlineStr">
        <is>
          <t>数量</t>
        </is>
      </c>
      <c r="D2" s="2" t="inlineStr">
        <is>
          <t>金额</t>
        </is>
      </c>
      <c r="E2" s="2" t="inlineStr">
        <is>
          <t>折扣后金额</t>
        </is>
      </c>
    </row>
    <row r="3">
      <c r="A3" s="3" t="inlineStr">
        <is>
          <t>键盘</t>
        </is>
      </c>
      <c r="B3" s="3" t="n">
        <v>199</v>
      </c>
      <c r="C3" s="3" t="n">
        <v>120</v>
      </c>
      <c r="D3" s="3">
        <f>B3*C3</f>
        <v/>
      </c>
      <c r="E3" s="3">
        <f>D3*0.95</f>
        <v/>
      </c>
    </row>
    <row r="4">
      <c r="A4" s="3" t="inlineStr">
        <is>
          <t>鼠标</t>
        </is>
      </c>
      <c r="B4" s="3" t="n">
        <v>89</v>
      </c>
      <c r="C4" s="3" t="n">
        <v>300</v>
      </c>
      <c r="D4" s="3">
        <f>B4*C4</f>
        <v/>
      </c>
      <c r="E4" s="3">
        <f>D4*0.9</f>
        <v/>
      </c>
    </row>
    <row r="5">
      <c r="A5" s="3" t="inlineStr">
        <is>
          <t>显示器</t>
        </is>
      </c>
      <c r="B5" s="3" t="n">
        <v>1299</v>
      </c>
      <c r="C5" s="3" t="n">
        <v>45</v>
      </c>
      <c r="D5" s="3">
        <f>B5*C5</f>
        <v/>
      </c>
      <c r="E5" s="3">
        <f>D5*0.92</f>
        <v/>
      </c>
    </row>
    <row r="6">
      <c r="A6" s="3" t="inlineStr">
        <is>
          <t>耳机</t>
        </is>
      </c>
      <c r="B6" s="3" t="n">
        <v>349</v>
      </c>
      <c r="C6" s="3" t="n">
        <v>88</v>
      </c>
      <c r="D6" s="3">
        <f>B6*C6</f>
        <v/>
      </c>
      <c r="E6" s="3">
        <f>D6</f>
        <v/>
      </c>
    </row>
    <row r="8">
      <c r="A8" s="4" t="inlineStr">
        <is>
          <t>统计项</t>
        </is>
      </c>
      <c r="B8" t="inlineStr">
        <is>
          <t>结果</t>
        </is>
      </c>
    </row>
    <row r="9">
      <c r="A9" s="3" t="inlineStr">
        <is>
          <t>订单总数（COUNT）</t>
        </is>
      </c>
      <c r="B9" s="3">
        <f>COUNT(C3:C6)</f>
        <v/>
      </c>
    </row>
    <row r="10">
      <c r="A10" s="3" t="inlineStr">
        <is>
          <t>金额合计（SUM）</t>
        </is>
      </c>
      <c r="B10" s="3">
        <f>SUM(D3:D6)</f>
        <v/>
      </c>
    </row>
    <row r="11">
      <c r="A11" s="3" t="inlineStr">
        <is>
          <t>平均单价（AVERAGE）</t>
        </is>
      </c>
      <c r="B11" s="3">
        <f>AVERAGE(B3:B6)</f>
        <v/>
      </c>
    </row>
    <row r="12">
      <c r="A12" s="3" t="inlineStr">
        <is>
          <t>最大金额（MAX）</t>
        </is>
      </c>
      <c r="B12" s="3">
        <f>MAX(D3:D6)</f>
        <v/>
      </c>
    </row>
    <row r="13">
      <c r="A13" s="3" t="inlineStr">
        <is>
          <t>最小金额（MIN）</t>
        </is>
      </c>
      <c r="B13" s="3">
        <f>MIN(D3:D6)</f>
        <v/>
      </c>
    </row>
    <row r="14">
      <c r="A14" s="3" t="inlineStr">
        <is>
          <t>高价订单数（COUNTIF）</t>
        </is>
      </c>
      <c r="B14" s="3">
        <f>COUNTIF(D3:D6,"&gt;10000")</f>
        <v/>
      </c>
    </row>
    <row r="15">
      <c r="A15" s="3" t="inlineStr">
        <is>
          <t>达标判断（IF）</t>
        </is>
      </c>
      <c r="B15" s="3">
        <f>IF(SUM(D3:D6)&gt;100000,"达标","未达标")</f>
        <v/>
      </c>
    </row>
    <row r="16">
      <c r="A16" s="3" t="inlineStr">
        <is>
          <t>四舍五入（ROUND）</t>
        </is>
      </c>
      <c r="B16" s="3">
        <f>ROUND(SUM(E3:E6),0)</f>
        <v/>
      </c>
    </row>
    <row r="17">
      <c r="A17" s="3" t="inlineStr">
        <is>
          <t>字符串拼接（CONCATENATE）</t>
        </is>
      </c>
      <c r="B17" s="3">
        <f>CONCATENATE("总营收：",TEXT(SUM(D3:D6),"0")," 元")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